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Sheshan\Downloads\"/>
    </mc:Choice>
  </mc:AlternateContent>
  <bookViews>
    <workbookView xWindow="0" yWindow="0" windowWidth="24000" windowHeight="9735" tabRatio="762" activeTab="1"/>
  </bookViews>
  <sheets>
    <sheet name="Qs1_BSPricer" sheetId="8" r:id="rId1"/>
    <sheet name="Qs2_ImpliedVolatility" sheetId="3" r:id="rId2"/>
    <sheet name="Qs3.1_geometricAsianOption" sheetId="9" r:id="rId3"/>
    <sheet name="Qs3.2_geometricBasketOption" sheetId="11" r:id="rId4"/>
    <sheet name="Qs4_arithmeticAsianOption" sheetId="10" r:id="rId5"/>
    <sheet name="Qs5_arithmeticBasketOption" sheetId="13" r:id="rId6"/>
    <sheet name="Q6_AmericanOptions" sheetId="12" r:id="rId7"/>
    <sheet name="TEST_Asian_Options" sheetId="14" r:id="rId8"/>
    <sheet name="TEST_Basket_Options" sheetId="15" r:id="rId9"/>
  </sheets>
  <functionGroups builtInGroupCount="18"/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" i="13" l="1"/>
  <c r="D2" i="10"/>
  <c r="E2" i="3"/>
  <c r="E2" i="10" a="1"/>
  <c r="E2" i="13" a="1"/>
  <c r="E2" i="9"/>
  <c r="E2" i="11"/>
  <c r="E2" i="8"/>
  <c r="E2" i="13" l="1"/>
  <c r="F2" i="13"/>
  <c r="E2" i="10"/>
  <c r="F2" i="10"/>
  <c r="D2" i="12"/>
  <c r="E2" i="12"/>
  <c r="H2" i="13" l="1"/>
  <c r="G2" i="13"/>
  <c r="G2" i="10"/>
  <c r="H2" i="10"/>
</calcChain>
</file>

<file path=xl/sharedStrings.xml><?xml version="1.0" encoding="utf-8"?>
<sst xmlns="http://schemas.openxmlformats.org/spreadsheetml/2006/main" count="135" uniqueCount="55">
  <si>
    <t>Put</t>
  </si>
  <si>
    <t>Input:</t>
  </si>
  <si>
    <t>Strike Price (K)</t>
  </si>
  <si>
    <t>Sigma</t>
  </si>
  <si>
    <t>Risk free rate (r)</t>
  </si>
  <si>
    <t>Output:</t>
  </si>
  <si>
    <t>Repo rate (q)</t>
  </si>
  <si>
    <t>Volatility</t>
  </si>
  <si>
    <t>Spot price of asset (S(0))</t>
  </si>
  <si>
    <t>Option premium</t>
  </si>
  <si>
    <t>Option type</t>
  </si>
  <si>
    <t>Time to expiry (in years) (T)</t>
  </si>
  <si>
    <t>Number of observation times for the
geometric average (n)</t>
  </si>
  <si>
    <t>Spot price of asset 1 (S1(0))</t>
  </si>
  <si>
    <t>Spot price of asset 2 (S2(0))</t>
  </si>
  <si>
    <t>Sigma_1</t>
  </si>
  <si>
    <t>Sigma_2</t>
  </si>
  <si>
    <t>Geometric Asian Option Price</t>
  </si>
  <si>
    <t>Call</t>
  </si>
  <si>
    <t>BlackScholes Option Price</t>
  </si>
  <si>
    <t>Geometric Basket Option Price</t>
  </si>
  <si>
    <t>correlation (p)</t>
  </si>
  <si>
    <t>Mean</t>
  </si>
  <si>
    <t>StdDev</t>
  </si>
  <si>
    <t>Min</t>
  </si>
  <si>
    <t>Max</t>
  </si>
  <si>
    <t>Number of paths in Monte Carlo simulation (M)</t>
  </si>
  <si>
    <t>Number of steps (N)</t>
    <phoneticPr fontId="0" type="noConversion"/>
  </si>
  <si>
    <t>Option Type</t>
    <phoneticPr fontId="0" type="noConversion"/>
  </si>
  <si>
    <t>Call</t>
    <phoneticPr fontId="0" type="noConversion"/>
  </si>
  <si>
    <t>Option Type</t>
    <phoneticPr fontId="7" type="noConversion"/>
  </si>
  <si>
    <t>Use Control Variate?</t>
    <phoneticPr fontId="7" type="noConversion"/>
  </si>
  <si>
    <t>None</t>
  </si>
  <si>
    <t>σ</t>
  </si>
  <si>
    <t>K</t>
  </si>
  <si>
    <t>n</t>
  </si>
  <si>
    <t>Type</t>
  </si>
  <si>
    <t>Asian Options</t>
  </si>
  <si>
    <t>r</t>
  </si>
  <si>
    <t>T</t>
  </si>
  <si>
    <t>S</t>
  </si>
  <si>
    <t>M</t>
  </si>
  <si>
    <t>Basket Options</t>
  </si>
  <si>
    <t>S1(0)</t>
  </si>
  <si>
    <t>S2(0)</t>
  </si>
  <si>
    <t>σ1</t>
  </si>
  <si>
    <t>σ2</t>
  </si>
  <si>
    <t>ρ</t>
  </si>
  <si>
    <t>Geometric Asian Option</t>
  </si>
  <si>
    <t>Arithmetic Asian Option (without Control Variate)</t>
  </si>
  <si>
    <t>Geometric Basket Option</t>
  </si>
  <si>
    <t>Arithmetic Basket Option (without Control Variate)</t>
  </si>
  <si>
    <t>Arithmetic Basket Option (with Control Variate)</t>
  </si>
  <si>
    <t>Arithmetic Asian Option (with Control Variate)</t>
  </si>
  <si>
    <t>Number of observation times for the average (n)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</si>
</sst>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(&quot;$&quot;* #,##0.00_);_(&quot;$&quot;* \(#,##0.00\);_(&quot;$&quot;* &quot;-&quot;??_);_(@_)"/>
    <numFmt numFmtId="164" formatCode="_(&quot;$&quot;* #,##0.000_);_(&quot;$&quot;* \(#,##0.000\);_(&quot;$&quot;* &quot;-&quot;??_);_(@_)"/>
    <numFmt numFmtId="165" formatCode="0.0000"/>
    <numFmt numFmtId="166" formatCode="_(&quot;$&quot;* #,##0.000_);_(&quot;$&quot;* \(#,##0.000\);_(&quot;$&quot;* &quot;-&quot;???_);_(@_)"/>
    <numFmt numFmtId="167" formatCode="_(&quot;$&quot;* #,##0.00000_);_(&quot;$&quot;* \(#,##0.00000\);_(&quot;$&quot;* &quot;-&quot;??_);_(@_)"/>
    <numFmt numFmtId="168" formatCode="&quot;$&quot;#,##0.00000"/>
    <numFmt numFmtId="169" formatCode="0.00000%"/>
  </numFmts>
  <fonts count="1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1"/>
      <name val="Calibri"/>
    </font>
    <font>
      <sz val="12"/>
      <color theme="1"/>
      <name val="Calibri"/>
      <family val="2"/>
    </font>
    <font>
      <sz val="9"/>
      <name val="Calibri"/>
      <family val="3"/>
      <charset val="136"/>
      <scheme val="minor"/>
    </font>
    <font>
      <sz val="10"/>
      <color rgb="FF000000"/>
      <name val="CMR10"/>
    </font>
    <font>
      <b/>
      <i/>
      <sz val="10"/>
      <color rgb="FF000000"/>
      <name val="CMMI10"/>
    </font>
    <font>
      <b/>
      <i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auto="1"/>
      </bottom>
      <diagonal/>
    </border>
  </borders>
  <cellStyleXfs count="1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61">
    <xf numFmtId="0" fontId="0" fillId="0" borderId="0" xfId="0"/>
    <xf numFmtId="0" fontId="2" fillId="2" borderId="0" xfId="0" applyFont="1" applyFill="1" applyBorder="1"/>
    <xf numFmtId="0" fontId="0" fillId="2" borderId="0" xfId="0" applyFill="1" applyBorder="1"/>
    <xf numFmtId="0" fontId="0" fillId="2" borderId="0" xfId="0" applyFill="1"/>
    <xf numFmtId="0" fontId="0" fillId="2" borderId="0" xfId="0" applyFont="1" applyFill="1" applyBorder="1"/>
    <xf numFmtId="0" fontId="6" fillId="2" borderId="0" xfId="0" applyFont="1" applyFill="1" applyBorder="1"/>
    <xf numFmtId="0" fontId="5" fillId="2" borderId="0" xfId="0" applyFont="1" applyFill="1" applyBorder="1"/>
    <xf numFmtId="165" fontId="5" fillId="2" borderId="0" xfId="0" applyNumberFormat="1" applyFont="1" applyFill="1" applyBorder="1"/>
    <xf numFmtId="0" fontId="0" fillId="2" borderId="1" xfId="0" applyFont="1" applyFill="1" applyBorder="1"/>
    <xf numFmtId="0" fontId="0" fillId="2" borderId="3" xfId="0" applyFont="1" applyFill="1" applyBorder="1"/>
    <xf numFmtId="0" fontId="5" fillId="2" borderId="3" xfId="0" applyFont="1" applyFill="1" applyBorder="1"/>
    <xf numFmtId="0" fontId="5" fillId="2" borderId="5" xfId="0" applyFont="1" applyFill="1" applyBorder="1"/>
    <xf numFmtId="0" fontId="5" fillId="2" borderId="7" xfId="0" applyFont="1" applyFill="1" applyBorder="1"/>
    <xf numFmtId="164" fontId="0" fillId="2" borderId="0" xfId="1" applyNumberFormat="1" applyFont="1" applyFill="1" applyBorder="1"/>
    <xf numFmtId="0" fontId="0" fillId="2" borderId="7" xfId="0" applyFont="1" applyFill="1" applyBorder="1"/>
    <xf numFmtId="0" fontId="0" fillId="2" borderId="3" xfId="0" applyFill="1" applyBorder="1" applyAlignment="1">
      <alignment wrapText="1"/>
    </xf>
    <xf numFmtId="0" fontId="0" fillId="2" borderId="9" xfId="0" applyFont="1" applyFill="1" applyBorder="1"/>
    <xf numFmtId="164" fontId="0" fillId="2" borderId="2" xfId="1" applyNumberFormat="1" applyFont="1" applyFill="1" applyBorder="1" applyAlignment="1">
      <alignment horizontal="left" vertical="top"/>
    </xf>
    <xf numFmtId="0" fontId="0" fillId="2" borderId="5" xfId="0" applyFill="1" applyBorder="1"/>
    <xf numFmtId="0" fontId="2" fillId="0" borderId="0" xfId="0" applyFont="1" applyFill="1" applyBorder="1"/>
    <xf numFmtId="0" fontId="0" fillId="0" borderId="0" xfId="0" applyFill="1" applyBorder="1"/>
    <xf numFmtId="0" fontId="0" fillId="0" borderId="10" xfId="0" applyFill="1" applyBorder="1"/>
    <xf numFmtId="0" fontId="0" fillId="0" borderId="0" xfId="0" applyFill="1"/>
    <xf numFmtId="0" fontId="0" fillId="0" borderId="1" xfId="0" applyFont="1" applyFill="1" applyBorder="1"/>
    <xf numFmtId="0" fontId="0" fillId="0" borderId="3" xfId="0" applyFont="1" applyFill="1" applyBorder="1"/>
    <xf numFmtId="0" fontId="0" fillId="0" borderId="3" xfId="0" applyFill="1" applyBorder="1" applyAlignment="1">
      <alignment wrapText="1"/>
    </xf>
    <xf numFmtId="0" fontId="0" fillId="0" borderId="5" xfId="0" applyFill="1" applyBorder="1"/>
    <xf numFmtId="0" fontId="0" fillId="0" borderId="11" xfId="0" applyFont="1" applyFill="1" applyBorder="1" applyAlignment="1">
      <alignment wrapText="1"/>
    </xf>
    <xf numFmtId="0" fontId="0" fillId="0" borderId="0" xfId="0" applyFont="1" applyFill="1" applyBorder="1" applyAlignment="1">
      <alignment wrapText="1"/>
    </xf>
    <xf numFmtId="164" fontId="0" fillId="0" borderId="0" xfId="1" applyNumberFormat="1" applyFont="1" applyFill="1" applyBorder="1"/>
    <xf numFmtId="166" fontId="0" fillId="0" borderId="0" xfId="0" applyNumberFormat="1" applyFill="1" applyBorder="1"/>
    <xf numFmtId="0" fontId="0" fillId="3" borderId="2" xfId="0" applyFont="1" applyFill="1" applyBorder="1"/>
    <xf numFmtId="0" fontId="0" fillId="3" borderId="4" xfId="0" applyFont="1" applyFill="1" applyBorder="1"/>
    <xf numFmtId="9" fontId="0" fillId="3" borderId="4" xfId="2" applyNumberFormat="1" applyFont="1" applyFill="1" applyBorder="1"/>
    <xf numFmtId="0" fontId="5" fillId="3" borderId="6" xfId="0" applyFont="1" applyFill="1" applyBorder="1"/>
    <xf numFmtId="0" fontId="5" fillId="3" borderId="2" xfId="0" applyFont="1" applyFill="1" applyBorder="1"/>
    <xf numFmtId="2" fontId="5" fillId="3" borderId="4" xfId="0" applyNumberFormat="1" applyFont="1" applyFill="1" applyBorder="1"/>
    <xf numFmtId="0" fontId="0" fillId="3" borderId="4" xfId="0" applyFill="1" applyBorder="1"/>
    <xf numFmtId="0" fontId="6" fillId="3" borderId="4" xfId="0" applyFont="1" applyFill="1" applyBorder="1"/>
    <xf numFmtId="0" fontId="5" fillId="3" borderId="4" xfId="0" applyFont="1" applyFill="1" applyBorder="1"/>
    <xf numFmtId="2" fontId="0" fillId="3" borderId="4" xfId="2" applyNumberFormat="1" applyFont="1" applyFill="1" applyBorder="1"/>
    <xf numFmtId="0" fontId="6" fillId="3" borderId="6" xfId="0" applyFont="1" applyFill="1" applyBorder="1"/>
    <xf numFmtId="0" fontId="0" fillId="3" borderId="6" xfId="0" applyFill="1" applyBorder="1"/>
    <xf numFmtId="167" fontId="0" fillId="4" borderId="8" xfId="1" applyNumberFormat="1" applyFont="1" applyFill="1" applyBorder="1"/>
    <xf numFmtId="167" fontId="0" fillId="4" borderId="12" xfId="1" applyNumberFormat="1" applyFont="1" applyFill="1" applyBorder="1"/>
    <xf numFmtId="167" fontId="0" fillId="4" borderId="12" xfId="0" applyNumberFormat="1" applyFill="1" applyBorder="1"/>
    <xf numFmtId="167" fontId="0" fillId="4" borderId="2" xfId="0" applyNumberFormat="1" applyFill="1" applyBorder="1"/>
    <xf numFmtId="167" fontId="0" fillId="4" borderId="2" xfId="1" applyNumberFormat="1" applyFont="1" applyFill="1" applyBorder="1"/>
    <xf numFmtId="0" fontId="8" fillId="0" borderId="0" xfId="0" applyFont="1"/>
    <xf numFmtId="0" fontId="2" fillId="0" borderId="0" xfId="0" applyFont="1"/>
    <xf numFmtId="0" fontId="10" fillId="0" borderId="0" xfId="0" applyFont="1"/>
    <xf numFmtId="168" fontId="0" fillId="0" borderId="0" xfId="0" applyNumberFormat="1"/>
    <xf numFmtId="49" fontId="9" fillId="0" borderId="0" xfId="0" applyNumberFormat="1" applyFont="1" applyAlignment="1">
      <alignment wrapText="1" shrinkToFit="1"/>
    </xf>
    <xf numFmtId="49" fontId="10" fillId="0" borderId="0" xfId="0" applyNumberFormat="1" applyFont="1" applyAlignment="1">
      <alignment wrapText="1" shrinkToFit="1"/>
    </xf>
    <xf numFmtId="49" fontId="2" fillId="0" borderId="0" xfId="0" applyNumberFormat="1" applyFont="1" applyAlignment="1">
      <alignment wrapText="1" shrinkToFit="1"/>
    </xf>
    <xf numFmtId="49" fontId="0" fillId="0" borderId="0" xfId="0" applyNumberFormat="1" applyAlignment="1">
      <alignment wrapText="1" shrinkToFit="1"/>
    </xf>
    <xf numFmtId="0" fontId="9" fillId="0" borderId="0" xfId="0" applyFont="1" applyAlignment="1">
      <alignment wrapText="1" shrinkToFit="1"/>
    </xf>
    <xf numFmtId="0" fontId="2" fillId="0" borderId="0" xfId="0" applyFont="1" applyAlignment="1">
      <alignment wrapText="1" shrinkToFit="1"/>
    </xf>
    <xf numFmtId="0" fontId="0" fillId="0" borderId="0" xfId="0" applyAlignment="1">
      <alignment wrapText="1" shrinkToFit="1"/>
    </xf>
    <xf numFmtId="168" fontId="2" fillId="0" borderId="0" xfId="0" applyNumberFormat="1" applyFont="1" applyAlignment="1">
      <alignment wrapText="1" shrinkToFit="1"/>
    </xf>
    <xf numFmtId="169" fontId="5" fillId="4" borderId="8" xfId="2" applyNumberFormat="1" applyFont="1" applyFill="1" applyBorder="1"/>
  </cellXfs>
  <cellStyles count="13">
    <cellStyle name="Currency" xfId="1" builtinId="4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Normal" xfId="0" builtinId="0"/>
    <cellStyle name="Percent" xfId="2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2"/>
  <sheetViews>
    <sheetView workbookViewId="0">
      <selection activeCell="B7" sqref="B7"/>
    </sheetView>
  </sheetViews>
  <sheetFormatPr defaultColWidth="10.875" defaultRowHeight="15.75"/>
  <cols>
    <col min="1" max="1" width="23.375" style="3" bestFit="1" customWidth="1"/>
    <col min="2" max="2" width="8.125" style="3" customWidth="1"/>
    <col min="3" max="3" width="10.875" style="3"/>
    <col min="4" max="4" width="22" style="3" bestFit="1" customWidth="1"/>
    <col min="5" max="5" width="11.625" style="3" bestFit="1" customWidth="1"/>
    <col min="6" max="16384" width="10.875" style="3"/>
  </cols>
  <sheetData>
    <row r="1" spans="1:5" ht="16.5" thickBot="1">
      <c r="A1" s="1" t="s">
        <v>1</v>
      </c>
      <c r="B1" s="2"/>
      <c r="C1" s="2"/>
      <c r="D1" s="1" t="s">
        <v>5</v>
      </c>
      <c r="E1" s="2"/>
    </row>
    <row r="2" spans="1:5" ht="16.5" thickBot="1">
      <c r="A2" s="8" t="s">
        <v>8</v>
      </c>
      <c r="B2" s="31">
        <v>100</v>
      </c>
      <c r="C2" s="2"/>
      <c r="D2" s="14" t="s">
        <v>19</v>
      </c>
      <c r="E2" s="43">
        <f>BS_option($B$2,$B$3,$B$4,$B$5,$B$6,$B$7)</f>
        <v>26.805483596641558</v>
      </c>
    </row>
    <row r="3" spans="1:5">
      <c r="A3" s="9" t="s">
        <v>2</v>
      </c>
      <c r="B3" s="32">
        <v>100</v>
      </c>
      <c r="C3" s="2"/>
      <c r="D3" s="4"/>
      <c r="E3" s="13"/>
    </row>
    <row r="4" spans="1:5">
      <c r="A4" s="9" t="s">
        <v>11</v>
      </c>
      <c r="B4" s="32">
        <v>3</v>
      </c>
      <c r="C4" s="2"/>
      <c r="D4" s="2"/>
      <c r="E4" s="2"/>
    </row>
    <row r="5" spans="1:5">
      <c r="A5" s="9" t="s">
        <v>3</v>
      </c>
      <c r="B5" s="33">
        <v>0.3</v>
      </c>
      <c r="C5" s="2"/>
      <c r="D5" s="2"/>
      <c r="E5" s="2"/>
    </row>
    <row r="6" spans="1:5">
      <c r="A6" s="9" t="s">
        <v>4</v>
      </c>
      <c r="B6" s="33">
        <v>0.05</v>
      </c>
      <c r="C6" s="2"/>
      <c r="D6" s="2"/>
      <c r="E6" s="2"/>
    </row>
    <row r="7" spans="1:5" ht="16.5" thickBot="1">
      <c r="A7" s="11" t="s">
        <v>10</v>
      </c>
      <c r="B7" s="34" t="s">
        <v>18</v>
      </c>
      <c r="C7" s="2"/>
      <c r="D7" s="2"/>
      <c r="E7" s="2"/>
    </row>
    <row r="8" spans="1:5">
      <c r="A8" s="4"/>
      <c r="B8" s="5"/>
      <c r="C8" s="2"/>
      <c r="D8" s="2"/>
      <c r="E8" s="2"/>
    </row>
    <row r="9" spans="1:5">
      <c r="A9" s="2"/>
      <c r="B9" s="2"/>
      <c r="C9" s="2"/>
      <c r="D9" s="2"/>
      <c r="E9" s="2"/>
    </row>
    <row r="10" spans="1:5">
      <c r="A10" s="2"/>
      <c r="B10" s="2"/>
      <c r="C10" s="2"/>
      <c r="D10" s="2"/>
      <c r="E10" s="2"/>
    </row>
    <row r="11" spans="1:5">
      <c r="A11" s="2"/>
      <c r="B11" s="2"/>
      <c r="C11" s="2"/>
      <c r="D11" s="2"/>
      <c r="E11" s="2"/>
    </row>
    <row r="12" spans="1:5">
      <c r="A12" s="2"/>
      <c r="B12" s="2"/>
      <c r="C12" s="2"/>
      <c r="D12" s="2"/>
      <c r="E12" s="2"/>
    </row>
  </sheetData>
  <phoneticPr fontId="7" type="noConversion"/>
  <dataValidations count="2">
    <dataValidation type="list" allowBlank="1" showInputMessage="1" showErrorMessage="1" sqref="B8">
      <formula1>"0"</formula1>
    </dataValidation>
    <dataValidation type="list" allowBlank="1" showInputMessage="1" showErrorMessage="1" sqref="B7">
      <formula1>"Put, Call"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7"/>
  <sheetViews>
    <sheetView tabSelected="1" workbookViewId="0">
      <selection activeCell="B7" sqref="B7"/>
    </sheetView>
  </sheetViews>
  <sheetFormatPr defaultColWidth="11" defaultRowHeight="15.75"/>
  <cols>
    <col min="1" max="1" width="23.375" style="6" customWidth="1"/>
    <col min="2" max="3" width="11" style="6"/>
    <col min="4" max="4" width="8.875" style="6" customWidth="1"/>
    <col min="5" max="16384" width="11" style="6"/>
  </cols>
  <sheetData>
    <row r="1" spans="1:5" s="3" customFormat="1" ht="16.5" thickBot="1">
      <c r="A1" s="1" t="s">
        <v>1</v>
      </c>
      <c r="B1" s="2"/>
      <c r="C1" s="2"/>
      <c r="D1" s="1" t="s">
        <v>5</v>
      </c>
      <c r="E1" s="2"/>
    </row>
    <row r="2" spans="1:5" ht="16.5" thickBot="1">
      <c r="A2" s="8" t="s">
        <v>8</v>
      </c>
      <c r="B2" s="35">
        <v>1.958</v>
      </c>
      <c r="D2" s="12" t="s">
        <v>7</v>
      </c>
      <c r="E2" s="60">
        <f>IFERROR(sigma_est($B$2,$B3,$B$4,$B$5,$B$6,B7,$B$8),"NaN")</f>
        <v>1.1660155568857795</v>
      </c>
    </row>
    <row r="3" spans="1:5">
      <c r="A3" s="9" t="s">
        <v>2</v>
      </c>
      <c r="B3" s="36">
        <v>1.8</v>
      </c>
      <c r="E3" s="2"/>
    </row>
    <row r="4" spans="1:5">
      <c r="A4" s="9" t="s">
        <v>11</v>
      </c>
      <c r="B4" s="37">
        <v>0.5</v>
      </c>
      <c r="D4" s="7"/>
      <c r="E4" s="5"/>
    </row>
    <row r="5" spans="1:5">
      <c r="A5" s="9" t="s">
        <v>4</v>
      </c>
      <c r="B5" s="37">
        <v>0.05</v>
      </c>
      <c r="D5" s="7"/>
    </row>
    <row r="6" spans="1:5">
      <c r="A6" s="9" t="s">
        <v>6</v>
      </c>
      <c r="B6" s="38">
        <v>0</v>
      </c>
      <c r="D6" s="7"/>
    </row>
    <row r="7" spans="1:5">
      <c r="A7" s="10" t="s">
        <v>9</v>
      </c>
      <c r="B7" s="39">
        <v>0.7</v>
      </c>
      <c r="D7" s="7"/>
    </row>
    <row r="8" spans="1:5" ht="16.5" thickBot="1">
      <c r="A8" s="11" t="s">
        <v>10</v>
      </c>
      <c r="B8" s="34" t="s">
        <v>18</v>
      </c>
      <c r="D8" s="7"/>
    </row>
    <row r="9" spans="1:5">
      <c r="A9" s="4"/>
      <c r="D9" s="7"/>
    </row>
    <row r="10" spans="1:5">
      <c r="D10" s="7"/>
    </row>
    <row r="11" spans="1:5">
      <c r="D11" s="7"/>
    </row>
    <row r="12" spans="1:5">
      <c r="D12" s="7"/>
    </row>
    <row r="13" spans="1:5">
      <c r="D13" s="7"/>
    </row>
    <row r="14" spans="1:5">
      <c r="D14" s="7"/>
    </row>
    <row r="15" spans="1:5">
      <c r="D15" s="7"/>
    </row>
    <row r="16" spans="1:5">
      <c r="D16" s="7"/>
    </row>
    <row r="17" spans="4:4">
      <c r="D17" s="7"/>
    </row>
  </sheetData>
  <phoneticPr fontId="7" type="noConversion"/>
  <dataValidations count="1">
    <dataValidation type="list" allowBlank="1" showInputMessage="1" showErrorMessage="1" sqref="B8">
      <formula1>"Put, Call"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"/>
  <sheetViews>
    <sheetView workbookViewId="0"/>
  </sheetViews>
  <sheetFormatPr defaultColWidth="10.875" defaultRowHeight="15.75"/>
  <cols>
    <col min="1" max="1" width="35" style="3" customWidth="1"/>
    <col min="2" max="2" width="8.125" style="3" customWidth="1"/>
    <col min="3" max="3" width="10.875" style="3"/>
    <col min="4" max="4" width="25" style="3" bestFit="1" customWidth="1"/>
    <col min="5" max="5" width="17" style="3" customWidth="1"/>
    <col min="6" max="16384" width="10.875" style="3"/>
  </cols>
  <sheetData>
    <row r="1" spans="1:5" ht="16.5" thickBot="1">
      <c r="A1" s="1" t="s">
        <v>1</v>
      </c>
      <c r="B1" s="2"/>
      <c r="C1" s="2"/>
      <c r="D1" s="1" t="s">
        <v>5</v>
      </c>
      <c r="E1" s="2"/>
    </row>
    <row r="2" spans="1:5" ht="16.5" thickBot="1">
      <c r="A2" s="8" t="s">
        <v>8</v>
      </c>
      <c r="B2" s="31">
        <v>100</v>
      </c>
      <c r="C2" s="2"/>
      <c r="D2" s="14" t="s">
        <v>17</v>
      </c>
      <c r="E2" s="43">
        <f>geo_asian_price($B$2, $B$3,$B$4,$B$5, $B$6,$B$7,$B$8)</f>
        <v>13.25912613053641</v>
      </c>
    </row>
    <row r="3" spans="1:5">
      <c r="A3" s="9" t="s">
        <v>2</v>
      </c>
      <c r="B3" s="32">
        <v>100</v>
      </c>
      <c r="C3" s="2"/>
      <c r="D3" s="4"/>
      <c r="E3" s="13"/>
    </row>
    <row r="4" spans="1:5">
      <c r="A4" s="9" t="s">
        <v>11</v>
      </c>
      <c r="B4" s="32">
        <v>3</v>
      </c>
      <c r="C4" s="2"/>
      <c r="D4" s="2"/>
      <c r="E4" s="2"/>
    </row>
    <row r="5" spans="1:5">
      <c r="A5" s="9" t="s">
        <v>3</v>
      </c>
      <c r="B5" s="33">
        <v>0.3</v>
      </c>
      <c r="C5" s="2"/>
      <c r="D5" s="2"/>
      <c r="E5" s="2"/>
    </row>
    <row r="6" spans="1:5">
      <c r="A6" s="9" t="s">
        <v>4</v>
      </c>
      <c r="B6" s="33">
        <v>0.05</v>
      </c>
      <c r="C6" s="2"/>
      <c r="D6" s="2"/>
      <c r="E6" s="2"/>
    </row>
    <row r="7" spans="1:5" ht="31.5">
      <c r="A7" s="15" t="s">
        <v>12</v>
      </c>
      <c r="B7" s="37">
        <v>50</v>
      </c>
      <c r="C7" s="2"/>
      <c r="D7" s="2"/>
      <c r="E7" s="2"/>
    </row>
    <row r="8" spans="1:5" ht="16.5" thickBot="1">
      <c r="A8" s="11" t="s">
        <v>10</v>
      </c>
      <c r="B8" s="34" t="s">
        <v>18</v>
      </c>
      <c r="C8" s="2"/>
      <c r="D8" s="2"/>
      <c r="E8" s="2"/>
    </row>
    <row r="9" spans="1:5">
      <c r="A9" s="2"/>
      <c r="B9" s="2"/>
      <c r="C9" s="2"/>
      <c r="D9" s="2"/>
      <c r="E9" s="2"/>
    </row>
    <row r="10" spans="1:5">
      <c r="A10" s="2"/>
      <c r="B10" s="2"/>
      <c r="C10" s="2"/>
      <c r="D10" s="2"/>
      <c r="E10" s="2"/>
    </row>
    <row r="11" spans="1:5">
      <c r="A11" s="2"/>
      <c r="B11" s="2"/>
      <c r="C11" s="2"/>
      <c r="D11" s="2"/>
      <c r="E11" s="2"/>
    </row>
  </sheetData>
  <phoneticPr fontId="7" type="noConversion"/>
  <dataValidations count="1">
    <dataValidation type="list" allowBlank="1" showInputMessage="1" showErrorMessage="1" sqref="B8">
      <formula1>"Put, Call"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0"/>
  <sheetViews>
    <sheetView workbookViewId="0"/>
  </sheetViews>
  <sheetFormatPr defaultColWidth="10.875" defaultRowHeight="15.75"/>
  <cols>
    <col min="1" max="1" width="23.375" style="2" bestFit="1" customWidth="1"/>
    <col min="2" max="2" width="8.125" style="2" customWidth="1"/>
    <col min="3" max="3" width="10.875" style="2"/>
    <col min="4" max="4" width="26" style="2" bestFit="1" customWidth="1"/>
    <col min="5" max="16384" width="10.875" style="2"/>
  </cols>
  <sheetData>
    <row r="1" spans="1:5" ht="16.5" thickBot="1">
      <c r="A1" s="1" t="s">
        <v>1</v>
      </c>
      <c r="D1" s="1" t="s">
        <v>5</v>
      </c>
    </row>
    <row r="2" spans="1:5" ht="16.5" thickBot="1">
      <c r="A2" s="8" t="s">
        <v>13</v>
      </c>
      <c r="B2" s="31">
        <v>100</v>
      </c>
      <c r="D2" s="16" t="s">
        <v>20</v>
      </c>
      <c r="E2" s="43">
        <f>geo_basket_price($B$2,$B$3,$B$4,$B$5,$B$6,$B$7,$B$8,$B$9,$B$10)</f>
        <v>22.102092797609448</v>
      </c>
    </row>
    <row r="3" spans="1:5">
      <c r="A3" s="9" t="s">
        <v>14</v>
      </c>
      <c r="B3" s="32">
        <v>100</v>
      </c>
      <c r="D3" s="4"/>
      <c r="E3" s="13"/>
    </row>
    <row r="4" spans="1:5">
      <c r="A4" s="9" t="s">
        <v>2</v>
      </c>
      <c r="B4" s="32">
        <v>100</v>
      </c>
    </row>
    <row r="5" spans="1:5">
      <c r="A5" s="9" t="s">
        <v>11</v>
      </c>
      <c r="B5" s="32">
        <v>3</v>
      </c>
    </row>
    <row r="6" spans="1:5">
      <c r="A6" s="9" t="s">
        <v>15</v>
      </c>
      <c r="B6" s="33">
        <v>0.3</v>
      </c>
    </row>
    <row r="7" spans="1:5">
      <c r="A7" s="9" t="s">
        <v>16</v>
      </c>
      <c r="B7" s="33">
        <v>0.3</v>
      </c>
    </row>
    <row r="8" spans="1:5">
      <c r="A8" s="9" t="s">
        <v>4</v>
      </c>
      <c r="B8" s="33">
        <v>0.05</v>
      </c>
    </row>
    <row r="9" spans="1:5">
      <c r="A9" s="9" t="s">
        <v>21</v>
      </c>
      <c r="B9" s="40">
        <v>0.5</v>
      </c>
    </row>
    <row r="10" spans="1:5" ht="16.5" thickBot="1">
      <c r="A10" s="11" t="s">
        <v>10</v>
      </c>
      <c r="B10" s="34" t="s">
        <v>18</v>
      </c>
    </row>
  </sheetData>
  <phoneticPr fontId="7" type="noConversion"/>
  <dataValidations count="1">
    <dataValidation type="list" allowBlank="1" showInputMessage="1" showErrorMessage="1" sqref="B10">
      <formula1>"Put, Call"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4"/>
  <sheetViews>
    <sheetView workbookViewId="0"/>
  </sheetViews>
  <sheetFormatPr defaultColWidth="11" defaultRowHeight="15.75"/>
  <cols>
    <col min="1" max="1" width="23.625" bestFit="1" customWidth="1"/>
    <col min="2" max="2" width="7.5" bestFit="1" customWidth="1"/>
    <col min="4" max="4" width="26.25" customWidth="1"/>
    <col min="5" max="6" width="10.625" bestFit="1" customWidth="1"/>
    <col min="7" max="7" width="10.25" bestFit="1" customWidth="1"/>
    <col min="8" max="8" width="10.625" bestFit="1" customWidth="1"/>
  </cols>
  <sheetData>
    <row r="1" spans="1:10" ht="16.5" thickBot="1">
      <c r="A1" s="19" t="s">
        <v>1</v>
      </c>
      <c r="B1" s="20"/>
      <c r="C1" s="20"/>
      <c r="D1" s="19" t="s">
        <v>5</v>
      </c>
      <c r="E1" s="21" t="s">
        <v>22</v>
      </c>
      <c r="F1" s="21" t="s">
        <v>23</v>
      </c>
      <c r="G1" s="21" t="s">
        <v>24</v>
      </c>
      <c r="H1" s="21" t="s">
        <v>25</v>
      </c>
      <c r="I1" s="22"/>
      <c r="J1" s="22"/>
    </row>
    <row r="2" spans="1:10" ht="31.5">
      <c r="A2" s="23" t="s">
        <v>8</v>
      </c>
      <c r="B2" s="31">
        <v>100</v>
      </c>
      <c r="C2" s="20"/>
      <c r="D2" s="27" t="str">
        <f>"Arithmetic Asian " &amp; $B$9 &amp; " Option " &amp; IF(B10="None","without","with") &amp; " control variate"</f>
        <v>Arithmetic Asian Put Option without control variate</v>
      </c>
      <c r="E2" s="44">
        <f t="array" ref="E2:F2">calc_arith_asian($B$2, $B$3,$B$4,$B$5, $B$6,$B$7,$B$8,$B$9,$B$10)</f>
        <v>7.8123886098162947</v>
      </c>
      <c r="F2" s="45">
        <v>11.173987520434887</v>
      </c>
      <c r="G2" s="45">
        <f>E2-1.96*F2/SQRT($B$8)</f>
        <v>7.7431315176389868</v>
      </c>
      <c r="H2" s="46">
        <f>E2+1.96*F2/SQRT($B$8)</f>
        <v>7.8816457019936026</v>
      </c>
      <c r="I2" s="22"/>
      <c r="J2" s="22"/>
    </row>
    <row r="3" spans="1:10">
      <c r="A3" s="24" t="s">
        <v>2</v>
      </c>
      <c r="B3" s="32">
        <v>100</v>
      </c>
      <c r="C3" s="20"/>
      <c r="D3" s="20"/>
      <c r="E3" s="20"/>
      <c r="F3" s="22"/>
      <c r="G3" s="22"/>
      <c r="H3" s="22"/>
      <c r="I3" s="22"/>
      <c r="J3" s="22"/>
    </row>
    <row r="4" spans="1:10">
      <c r="A4" s="24" t="s">
        <v>11</v>
      </c>
      <c r="B4" s="32">
        <v>3</v>
      </c>
      <c r="C4" s="20"/>
      <c r="D4" s="20"/>
      <c r="E4" s="20"/>
      <c r="F4" s="22"/>
      <c r="G4" s="22"/>
      <c r="H4" s="22"/>
      <c r="I4" s="22"/>
      <c r="J4" s="22"/>
    </row>
    <row r="5" spans="1:10">
      <c r="A5" s="24" t="s">
        <v>3</v>
      </c>
      <c r="B5" s="33">
        <v>0.3</v>
      </c>
      <c r="C5" s="20"/>
      <c r="D5" s="20"/>
      <c r="E5" s="20"/>
      <c r="F5" s="22"/>
      <c r="G5" s="22"/>
      <c r="H5" s="22"/>
      <c r="I5" s="22"/>
      <c r="J5" s="22"/>
    </row>
    <row r="6" spans="1:10">
      <c r="A6" s="24" t="s">
        <v>4</v>
      </c>
      <c r="B6" s="33">
        <v>0.05</v>
      </c>
      <c r="C6" s="20"/>
      <c r="D6" s="20"/>
      <c r="E6" s="20"/>
      <c r="F6" s="22"/>
      <c r="G6" s="22"/>
      <c r="H6" s="22"/>
      <c r="I6" s="22"/>
      <c r="J6" s="22"/>
    </row>
    <row r="7" spans="1:10" ht="31.5">
      <c r="A7" s="25" t="s">
        <v>54</v>
      </c>
      <c r="B7" s="37">
        <v>50</v>
      </c>
      <c r="C7" s="20"/>
      <c r="D7" s="20"/>
      <c r="E7" s="20"/>
      <c r="F7" s="22"/>
      <c r="G7" s="22"/>
      <c r="H7" s="22"/>
      <c r="I7" s="22"/>
      <c r="J7" s="22"/>
    </row>
    <row r="8" spans="1:10" ht="31.5">
      <c r="A8" s="25" t="s">
        <v>26</v>
      </c>
      <c r="B8" s="37">
        <v>100000</v>
      </c>
      <c r="C8" s="20"/>
      <c r="D8" s="22"/>
      <c r="E8" s="22"/>
      <c r="F8" s="22"/>
      <c r="G8" s="22"/>
      <c r="H8" s="22"/>
      <c r="I8" s="22"/>
      <c r="J8" s="22"/>
    </row>
    <row r="9" spans="1:10">
      <c r="A9" s="25" t="s">
        <v>30</v>
      </c>
      <c r="B9" s="39" t="s">
        <v>0</v>
      </c>
      <c r="C9" s="20"/>
      <c r="D9" s="22"/>
      <c r="E9" s="22"/>
      <c r="F9" s="22"/>
      <c r="G9" s="22"/>
      <c r="H9" s="22"/>
      <c r="I9" s="22"/>
      <c r="J9" s="22"/>
    </row>
    <row r="10" spans="1:10" ht="16.5" thickBot="1">
      <c r="A10" s="26" t="s">
        <v>31</v>
      </c>
      <c r="B10" s="41" t="s">
        <v>32</v>
      </c>
      <c r="C10" s="20"/>
      <c r="D10" s="22"/>
      <c r="E10" s="22"/>
      <c r="F10" s="22"/>
      <c r="G10" s="22"/>
      <c r="H10" s="22"/>
      <c r="I10" s="22"/>
      <c r="J10" s="22"/>
    </row>
    <row r="11" spans="1:10">
      <c r="A11" s="22"/>
      <c r="B11" s="22"/>
      <c r="C11" s="22"/>
      <c r="D11" s="22"/>
      <c r="E11" s="22"/>
      <c r="F11" s="22"/>
      <c r="G11" s="22"/>
      <c r="H11" s="22"/>
      <c r="I11" s="22"/>
      <c r="J11" s="22"/>
    </row>
    <row r="12" spans="1:10">
      <c r="A12" s="22"/>
      <c r="B12" s="22"/>
      <c r="C12" s="22"/>
      <c r="I12" s="22"/>
      <c r="J12" s="22"/>
    </row>
    <row r="13" spans="1:10">
      <c r="A13" s="22"/>
      <c r="B13" s="22"/>
      <c r="C13" s="22"/>
      <c r="I13" s="22"/>
      <c r="J13" s="22"/>
    </row>
    <row r="14" spans="1:10">
      <c r="A14" s="22"/>
      <c r="B14" s="22"/>
      <c r="C14" s="22"/>
      <c r="I14" s="22"/>
      <c r="J14" s="22"/>
    </row>
  </sheetData>
  <phoneticPr fontId="7" type="noConversion"/>
  <dataValidations count="3">
    <dataValidation type="list" allowBlank="1" showInputMessage="1" showErrorMessage="1" sqref="B10">
      <formula1>"None,Geo"</formula1>
    </dataValidation>
    <dataValidation type="list" allowBlank="1" showInputMessage="1" showErrorMessage="1" sqref="B9">
      <formula1>"Put, Call"</formula1>
    </dataValidation>
    <dataValidation type="whole" operator="greaterThan" allowBlank="1" showInputMessage="1" showErrorMessage="1" errorTitle="Input Error" error="Number of Monte Carlo Simulation Paths (M), must be greater than 1" sqref="B8">
      <formula1>1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2"/>
  <sheetViews>
    <sheetView zoomScale="85" zoomScaleNormal="85" workbookViewId="0"/>
  </sheetViews>
  <sheetFormatPr defaultRowHeight="15.75"/>
  <cols>
    <col min="1" max="1" width="23.625" bestFit="1" customWidth="1"/>
    <col min="2" max="2" width="22.875" customWidth="1"/>
    <col min="4" max="4" width="9.875" bestFit="1" customWidth="1"/>
    <col min="5" max="6" width="11" bestFit="1" customWidth="1"/>
    <col min="7" max="7" width="12.625" bestFit="1" customWidth="1"/>
    <col min="8" max="8" width="12" bestFit="1" customWidth="1"/>
  </cols>
  <sheetData>
    <row r="1" spans="1:8" ht="16.5" thickBot="1">
      <c r="A1" s="19" t="s">
        <v>1</v>
      </c>
      <c r="B1" s="20"/>
      <c r="C1" s="20"/>
      <c r="D1" s="19" t="s">
        <v>5</v>
      </c>
      <c r="E1" s="21" t="s">
        <v>22</v>
      </c>
      <c r="F1" s="21" t="s">
        <v>23</v>
      </c>
      <c r="G1" s="21" t="s">
        <v>24</v>
      </c>
      <c r="H1" s="21" t="s">
        <v>25</v>
      </c>
    </row>
    <row r="2" spans="1:8" ht="94.5">
      <c r="A2" s="8" t="s">
        <v>13</v>
      </c>
      <c r="B2" s="31">
        <v>100</v>
      </c>
      <c r="C2" s="20"/>
      <c r="D2" s="27" t="str">
        <f>"Arithmetic Basket " &amp; $B$11 &amp; " Option " &amp; IF(B12="None","without","with") &amp; " control variate"</f>
        <v>Arithmetic Basket Put Option without control variate</v>
      </c>
      <c r="E2" s="44">
        <f t="array" ref="E2:F2">calc_arith_basket($B$2,$B$3,$B$4,$B$5,$B$6,$B$7,$B$8,$B$9,$B$10,$B$11,$B$12)</f>
        <v>10.63078599293422</v>
      </c>
      <c r="F2" s="45">
        <v>15.266431563085776</v>
      </c>
      <c r="G2" s="45">
        <f>$E$2-1.96*$F$2/SQRT($B$10)</f>
        <v>10.536163669788646</v>
      </c>
      <c r="H2" s="46">
        <f>$E$2+1.96*$F$2/SQRT($B$10)</f>
        <v>10.725408316079793</v>
      </c>
    </row>
    <row r="3" spans="1:8">
      <c r="A3" s="9" t="s">
        <v>14</v>
      </c>
      <c r="B3" s="32">
        <v>100</v>
      </c>
      <c r="C3" s="20"/>
      <c r="D3" s="28"/>
      <c r="E3" s="29"/>
      <c r="F3" s="20"/>
      <c r="G3" s="30"/>
      <c r="H3" s="30"/>
    </row>
    <row r="4" spans="1:8">
      <c r="A4" s="24" t="s">
        <v>2</v>
      </c>
      <c r="B4" s="32">
        <v>100</v>
      </c>
      <c r="C4" s="20"/>
      <c r="D4" s="20"/>
      <c r="E4" s="20"/>
      <c r="F4" s="22"/>
      <c r="G4" s="22"/>
      <c r="H4" s="22"/>
    </row>
    <row r="5" spans="1:8">
      <c r="A5" s="24" t="s">
        <v>11</v>
      </c>
      <c r="B5" s="32">
        <v>3</v>
      </c>
      <c r="C5" s="20"/>
      <c r="D5" s="20"/>
      <c r="E5" s="20"/>
      <c r="F5" s="22"/>
      <c r="G5" s="22"/>
      <c r="H5" s="22"/>
    </row>
    <row r="6" spans="1:8">
      <c r="A6" s="9" t="s">
        <v>15</v>
      </c>
      <c r="B6" s="33">
        <v>0.3</v>
      </c>
      <c r="C6" s="20"/>
      <c r="D6" s="20"/>
      <c r="E6" s="20"/>
      <c r="F6" s="22"/>
      <c r="G6" s="22"/>
      <c r="H6" s="22"/>
    </row>
    <row r="7" spans="1:8">
      <c r="A7" s="9" t="s">
        <v>16</v>
      </c>
      <c r="B7" s="33">
        <v>0.3</v>
      </c>
      <c r="C7" s="20"/>
      <c r="D7" s="20"/>
      <c r="E7" s="20"/>
      <c r="F7" s="22"/>
      <c r="G7" s="22"/>
      <c r="H7" s="22"/>
    </row>
    <row r="8" spans="1:8">
      <c r="A8" s="24" t="s">
        <v>4</v>
      </c>
      <c r="B8" s="33">
        <v>0.05</v>
      </c>
      <c r="C8" s="20"/>
      <c r="D8" s="20"/>
      <c r="E8" s="20"/>
      <c r="F8" s="22"/>
      <c r="G8" s="22"/>
      <c r="H8" s="22"/>
    </row>
    <row r="9" spans="1:8">
      <c r="A9" s="9" t="s">
        <v>21</v>
      </c>
      <c r="B9" s="40">
        <v>0.5</v>
      </c>
      <c r="C9" s="20"/>
      <c r="D9" s="20"/>
      <c r="E9" s="20"/>
      <c r="F9" s="22"/>
      <c r="G9" s="22"/>
      <c r="H9" s="22"/>
    </row>
    <row r="10" spans="1:8" ht="31.5">
      <c r="A10" s="25" t="s">
        <v>26</v>
      </c>
      <c r="B10" s="37">
        <v>100000</v>
      </c>
      <c r="C10" s="20"/>
      <c r="D10" s="22"/>
      <c r="E10" s="22"/>
      <c r="F10" s="22"/>
      <c r="G10" s="22"/>
      <c r="H10" s="22"/>
    </row>
    <row r="11" spans="1:8">
      <c r="A11" s="25" t="s">
        <v>30</v>
      </c>
      <c r="B11" s="39" t="s">
        <v>0</v>
      </c>
      <c r="C11" s="20"/>
      <c r="D11" s="22"/>
      <c r="E11" s="22"/>
      <c r="F11" s="22"/>
      <c r="G11" s="22"/>
      <c r="H11" s="22"/>
    </row>
    <row r="12" spans="1:8" ht="16.5" thickBot="1">
      <c r="A12" s="26" t="s">
        <v>31</v>
      </c>
      <c r="B12" s="41" t="s">
        <v>32</v>
      </c>
      <c r="C12" s="20"/>
      <c r="D12" s="22"/>
      <c r="E12" s="22"/>
      <c r="F12" s="22"/>
      <c r="G12" s="22"/>
      <c r="H12" s="22"/>
    </row>
  </sheetData>
  <phoneticPr fontId="7" type="noConversion"/>
  <dataValidations count="3">
    <dataValidation type="list" allowBlank="1" showInputMessage="1" showErrorMessage="1" sqref="B11">
      <formula1>"Put, Call"</formula1>
    </dataValidation>
    <dataValidation type="list" allowBlank="1" showInputMessage="1" showErrorMessage="1" sqref="B12">
      <formula1>"None,Geo"</formula1>
    </dataValidation>
    <dataValidation type="whole" operator="greaterThan" allowBlank="1" showInputMessage="1" showErrorMessage="1" errorTitle="Input Error" error="Number of Monte Carlo Simulation Paths (M), must be greater than 1" sqref="B10">
      <formula1>1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8"/>
  <sheetViews>
    <sheetView workbookViewId="0"/>
  </sheetViews>
  <sheetFormatPr defaultRowHeight="15.75"/>
  <cols>
    <col min="1" max="1" width="23.625" bestFit="1" customWidth="1"/>
    <col min="2" max="2" width="5.375" bestFit="1" customWidth="1"/>
    <col min="4" max="4" width="18.125" bestFit="1" customWidth="1"/>
    <col min="5" max="5" width="9.625" bestFit="1" customWidth="1"/>
  </cols>
  <sheetData>
    <row r="1" spans="1:5" ht="16.5" thickBot="1">
      <c r="A1" s="1" t="s">
        <v>1</v>
      </c>
      <c r="B1" s="2"/>
      <c r="C1" s="2"/>
      <c r="D1" s="1" t="s">
        <v>5</v>
      </c>
      <c r="E1" s="2"/>
    </row>
    <row r="2" spans="1:5">
      <c r="A2" s="8" t="s">
        <v>8</v>
      </c>
      <c r="B2" s="31">
        <v>100</v>
      </c>
      <c r="C2" s="2"/>
      <c r="D2" s="17" t="str">
        <f>"American " &amp; B8 &amp; " Price"</f>
        <v>American Call Price</v>
      </c>
      <c r="E2" s="47">
        <f>BinomialTree_American($B$2, $B$3,$B$4, $B$5, $B$6, $B$7,$B$8)</f>
        <v>8.2632986907926114</v>
      </c>
    </row>
    <row r="3" spans="1:5">
      <c r="A3" s="9" t="s">
        <v>2</v>
      </c>
      <c r="B3" s="32">
        <v>100</v>
      </c>
      <c r="C3" s="2"/>
      <c r="D3" s="3"/>
      <c r="E3" s="3"/>
    </row>
    <row r="4" spans="1:5">
      <c r="A4" s="9" t="s">
        <v>11</v>
      </c>
      <c r="B4" s="32">
        <v>0.5</v>
      </c>
      <c r="C4" s="2"/>
      <c r="D4" s="2"/>
      <c r="E4" s="2"/>
    </row>
    <row r="5" spans="1:5">
      <c r="A5" s="9" t="s">
        <v>3</v>
      </c>
      <c r="B5" s="33">
        <v>0.2</v>
      </c>
      <c r="C5" s="2"/>
      <c r="D5" s="2"/>
      <c r="E5" s="2"/>
    </row>
    <row r="6" spans="1:5">
      <c r="A6" s="9" t="s">
        <v>4</v>
      </c>
      <c r="B6" s="33">
        <v>0.1</v>
      </c>
      <c r="C6" s="2"/>
      <c r="D6" s="2"/>
      <c r="E6" s="2"/>
    </row>
    <row r="7" spans="1:5">
      <c r="A7" s="15" t="s">
        <v>27</v>
      </c>
      <c r="B7" s="37">
        <v>100</v>
      </c>
      <c r="C7" s="2"/>
      <c r="D7" s="2"/>
      <c r="E7" s="2"/>
    </row>
    <row r="8" spans="1:5" ht="16.5" thickBot="1">
      <c r="A8" s="18" t="s">
        <v>28</v>
      </c>
      <c r="B8" s="42" t="s">
        <v>29</v>
      </c>
      <c r="C8" s="2"/>
      <c r="D8" s="2"/>
      <c r="E8" s="2"/>
    </row>
  </sheetData>
  <phoneticPr fontId="7" type="noConversion"/>
  <dataValidations count="1">
    <dataValidation type="list" allowBlank="1" showInputMessage="1" showErrorMessage="1" sqref="B8">
      <formula1>"Call,Put"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2"/>
  <sheetViews>
    <sheetView workbookViewId="0"/>
  </sheetViews>
  <sheetFormatPr defaultRowHeight="15.75"/>
  <cols>
    <col min="1" max="1" width="13.875" bestFit="1" customWidth="1"/>
    <col min="5" max="5" width="21.75" style="51" bestFit="1" customWidth="1"/>
    <col min="6" max="6" width="44.75" style="51" bestFit="1" customWidth="1"/>
    <col min="7" max="7" width="41.625" style="51" bestFit="1" customWidth="1"/>
  </cols>
  <sheetData>
    <row r="1" spans="1:7">
      <c r="A1" s="49" t="s">
        <v>37</v>
      </c>
    </row>
    <row r="2" spans="1:7">
      <c r="A2" s="50" t="s">
        <v>38</v>
      </c>
      <c r="B2">
        <v>0.05</v>
      </c>
    </row>
    <row r="3" spans="1:7">
      <c r="A3" s="50" t="s">
        <v>39</v>
      </c>
      <c r="B3">
        <v>3</v>
      </c>
    </row>
    <row r="4" spans="1:7">
      <c r="A4" s="50" t="s">
        <v>40</v>
      </c>
      <c r="B4">
        <v>100</v>
      </c>
    </row>
    <row r="5" spans="1:7">
      <c r="A5" s="50" t="s">
        <v>41</v>
      </c>
      <c r="B5">
        <v>100000</v>
      </c>
    </row>
    <row r="6" spans="1:7" s="58" customFormat="1">
      <c r="A6" s="56" t="s">
        <v>33</v>
      </c>
      <c r="B6" s="57" t="s">
        <v>34</v>
      </c>
      <c r="C6" s="57" t="s">
        <v>35</v>
      </c>
      <c r="D6" s="57" t="s">
        <v>36</v>
      </c>
      <c r="E6" s="59" t="s">
        <v>48</v>
      </c>
      <c r="F6" s="59" t="s">
        <v>49</v>
      </c>
      <c r="G6" s="59" t="s">
        <v>53</v>
      </c>
    </row>
    <row r="7" spans="1:7">
      <c r="A7" s="48">
        <v>0.3</v>
      </c>
      <c r="B7">
        <v>100</v>
      </c>
      <c r="C7">
        <v>50</v>
      </c>
      <c r="D7" t="s">
        <v>0</v>
      </c>
      <c r="E7" s="51">
        <v>8.4827045448778176</v>
      </c>
      <c r="F7" s="51">
        <v>7.8868117029627482</v>
      </c>
      <c r="G7" s="51">
        <v>7.8101821871016517</v>
      </c>
    </row>
    <row r="8" spans="1:7">
      <c r="A8" s="48">
        <v>0.3</v>
      </c>
      <c r="B8">
        <v>100</v>
      </c>
      <c r="C8">
        <v>100</v>
      </c>
      <c r="D8" t="s">
        <v>0</v>
      </c>
      <c r="E8" s="51">
        <v>8.431080155681661</v>
      </c>
      <c r="F8" s="51">
        <v>7.7432585839278101</v>
      </c>
      <c r="G8" s="51">
        <v>7.7493087360491471</v>
      </c>
    </row>
    <row r="9" spans="1:7">
      <c r="A9" s="48">
        <v>0.4</v>
      </c>
      <c r="B9">
        <v>100</v>
      </c>
      <c r="C9">
        <v>50</v>
      </c>
      <c r="D9" t="s">
        <v>0</v>
      </c>
      <c r="E9" s="51">
        <v>12.558769439656004</v>
      </c>
      <c r="F9" s="51">
        <v>11.303547767253962</v>
      </c>
      <c r="G9" s="51">
        <v>11.283075453711644</v>
      </c>
    </row>
    <row r="10" spans="1:7">
      <c r="A10" s="48">
        <v>0.3</v>
      </c>
      <c r="B10">
        <v>100</v>
      </c>
      <c r="C10">
        <v>50</v>
      </c>
      <c r="D10" t="s">
        <v>18</v>
      </c>
      <c r="E10" s="51">
        <v>13.25912613053641</v>
      </c>
      <c r="F10" s="51">
        <v>14.714859557181329</v>
      </c>
      <c r="G10" s="51">
        <v>14.722050586607665</v>
      </c>
    </row>
    <row r="11" spans="1:7">
      <c r="A11" s="48">
        <v>0.3</v>
      </c>
      <c r="B11">
        <v>100</v>
      </c>
      <c r="C11">
        <v>100</v>
      </c>
      <c r="D11" t="s">
        <v>18</v>
      </c>
      <c r="E11" s="51">
        <v>13.138779114392923</v>
      </c>
      <c r="F11" s="51">
        <v>14.598273601866</v>
      </c>
      <c r="G11" s="51">
        <v>14.602655897787459</v>
      </c>
    </row>
    <row r="12" spans="1:7">
      <c r="A12" s="48">
        <v>0.4</v>
      </c>
      <c r="B12">
        <v>100</v>
      </c>
      <c r="C12">
        <v>50</v>
      </c>
      <c r="D12" t="s">
        <v>18</v>
      </c>
      <c r="E12" s="51">
        <v>15.759819776409655</v>
      </c>
      <c r="F12" s="51">
        <v>18.06857774250815</v>
      </c>
      <c r="G12" s="51">
        <v>18.239348365345968</v>
      </c>
    </row>
  </sheetData>
  <phoneticPr fontId="7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17"/>
  <sheetViews>
    <sheetView workbookViewId="0"/>
  </sheetViews>
  <sheetFormatPr defaultRowHeight="15.75"/>
  <cols>
    <col min="1" max="1" width="13.875" bestFit="1" customWidth="1"/>
    <col min="2" max="2" width="6.875" bestFit="1" customWidth="1"/>
    <col min="7" max="7" width="5.625" bestFit="1" customWidth="1"/>
    <col min="8" max="8" width="22.75" style="51" bestFit="1" customWidth="1"/>
    <col min="9" max="9" width="23" style="51" bestFit="1" customWidth="1"/>
    <col min="10" max="10" width="23.25" style="51" customWidth="1"/>
  </cols>
  <sheetData>
    <row r="1" spans="1:10">
      <c r="A1" s="49" t="s">
        <v>42</v>
      </c>
    </row>
    <row r="2" spans="1:10">
      <c r="A2" s="50" t="s">
        <v>38</v>
      </c>
      <c r="B2">
        <v>0.05</v>
      </c>
    </row>
    <row r="3" spans="1:10">
      <c r="A3" s="50" t="s">
        <v>39</v>
      </c>
      <c r="B3">
        <v>3</v>
      </c>
    </row>
    <row r="4" spans="1:10">
      <c r="A4" s="50" t="s">
        <v>41</v>
      </c>
      <c r="B4">
        <v>100000</v>
      </c>
    </row>
    <row r="5" spans="1:10" s="55" customFormat="1" ht="31.5">
      <c r="A5" s="52" t="s">
        <v>43</v>
      </c>
      <c r="B5" s="53" t="s">
        <v>44</v>
      </c>
      <c r="C5" s="53" t="s">
        <v>34</v>
      </c>
      <c r="D5" s="53" t="s">
        <v>45</v>
      </c>
      <c r="E5" s="53" t="s">
        <v>46</v>
      </c>
      <c r="F5" s="53" t="s">
        <v>47</v>
      </c>
      <c r="G5" s="53" t="s">
        <v>36</v>
      </c>
      <c r="H5" s="54" t="s">
        <v>50</v>
      </c>
      <c r="I5" s="54" t="s">
        <v>51</v>
      </c>
      <c r="J5" s="54" t="s">
        <v>52</v>
      </c>
    </row>
    <row r="6" spans="1:10">
      <c r="A6" s="48">
        <v>100</v>
      </c>
      <c r="B6">
        <v>100</v>
      </c>
      <c r="C6">
        <v>100</v>
      </c>
      <c r="D6">
        <v>0.3</v>
      </c>
      <c r="E6">
        <v>0.3</v>
      </c>
      <c r="F6">
        <v>0.5</v>
      </c>
      <c r="G6" t="s">
        <v>0</v>
      </c>
      <c r="H6" s="51">
        <v>11.491572667960924</v>
      </c>
      <c r="I6" s="51">
        <v>10.656339786482922</v>
      </c>
      <c r="J6" s="51">
        <v>10.568864289669339</v>
      </c>
    </row>
    <row r="7" spans="1:10">
      <c r="A7" s="48">
        <v>100</v>
      </c>
      <c r="B7">
        <v>100</v>
      </c>
      <c r="C7">
        <v>100</v>
      </c>
      <c r="D7">
        <v>0.3</v>
      </c>
      <c r="E7">
        <v>0.3</v>
      </c>
      <c r="F7">
        <v>0.9</v>
      </c>
      <c r="G7" t="s">
        <v>0</v>
      </c>
      <c r="H7" s="51">
        <v>12.622350161084956</v>
      </c>
      <c r="I7" s="51">
        <v>12.247349621587592</v>
      </c>
      <c r="J7" s="51">
        <v>12.426110839463545</v>
      </c>
    </row>
    <row r="8" spans="1:10">
      <c r="A8" s="48">
        <v>100</v>
      </c>
      <c r="B8">
        <v>100</v>
      </c>
      <c r="C8">
        <v>100</v>
      </c>
      <c r="D8">
        <v>0.1</v>
      </c>
      <c r="E8">
        <v>0.3</v>
      </c>
      <c r="F8">
        <v>0.5</v>
      </c>
      <c r="G8" t="s">
        <v>0</v>
      </c>
      <c r="H8" s="51">
        <v>6.5863806201245376</v>
      </c>
      <c r="I8" s="51">
        <v>5.5018464026408784</v>
      </c>
      <c r="J8" s="51">
        <v>5.5102285664826747</v>
      </c>
    </row>
    <row r="9" spans="1:10">
      <c r="A9" s="48">
        <v>100</v>
      </c>
      <c r="B9">
        <v>100</v>
      </c>
      <c r="C9">
        <v>80</v>
      </c>
      <c r="D9">
        <v>0.3</v>
      </c>
      <c r="E9">
        <v>0.3</v>
      </c>
      <c r="F9">
        <v>0.5</v>
      </c>
      <c r="G9" t="s">
        <v>0</v>
      </c>
      <c r="H9" s="51">
        <v>4.7115766285468048</v>
      </c>
      <c r="I9" s="51">
        <v>4.2797714237083975</v>
      </c>
      <c r="J9" s="51">
        <v>4.2419364212827562</v>
      </c>
    </row>
    <row r="10" spans="1:10">
      <c r="A10" s="48">
        <v>100</v>
      </c>
      <c r="B10">
        <v>100</v>
      </c>
      <c r="C10">
        <v>120</v>
      </c>
      <c r="D10">
        <v>0.3</v>
      </c>
      <c r="E10">
        <v>0.3</v>
      </c>
      <c r="F10">
        <v>0.5</v>
      </c>
      <c r="G10" t="s">
        <v>0</v>
      </c>
      <c r="H10" s="51">
        <v>21.289105159772674</v>
      </c>
      <c r="I10" s="51">
        <v>19.822688766074101</v>
      </c>
      <c r="J10" s="51">
        <v>19.875680567748724</v>
      </c>
    </row>
    <row r="11" spans="1:10">
      <c r="A11" s="48">
        <v>100</v>
      </c>
      <c r="B11">
        <v>100</v>
      </c>
      <c r="C11">
        <v>100</v>
      </c>
      <c r="D11">
        <v>0.5</v>
      </c>
      <c r="E11">
        <v>0.5</v>
      </c>
      <c r="F11">
        <v>0.5</v>
      </c>
      <c r="G11" t="s">
        <v>0</v>
      </c>
      <c r="H11" s="51">
        <v>23.469148023956826</v>
      </c>
      <c r="I11" s="51">
        <v>21.088700826671612</v>
      </c>
      <c r="J11" s="51">
        <v>21.083161787965082</v>
      </c>
    </row>
    <row r="12" spans="1:10">
      <c r="A12" s="48">
        <v>100</v>
      </c>
      <c r="B12">
        <v>100</v>
      </c>
      <c r="C12">
        <v>100</v>
      </c>
      <c r="D12">
        <v>0.3</v>
      </c>
      <c r="E12">
        <v>0.3</v>
      </c>
      <c r="F12">
        <v>0.5</v>
      </c>
      <c r="G12" t="s">
        <v>18</v>
      </c>
      <c r="H12" s="51">
        <v>22.102092797609448</v>
      </c>
      <c r="I12" s="51">
        <v>24.313419733548525</v>
      </c>
      <c r="J12" s="51">
        <v>24.520722148266564</v>
      </c>
    </row>
    <row r="13" spans="1:10">
      <c r="A13" s="48">
        <v>100</v>
      </c>
      <c r="B13">
        <v>100</v>
      </c>
      <c r="C13">
        <v>100</v>
      </c>
      <c r="D13">
        <v>0.3</v>
      </c>
      <c r="E13">
        <v>0.3</v>
      </c>
      <c r="F13">
        <v>0.9</v>
      </c>
      <c r="G13" t="s">
        <v>18</v>
      </c>
      <c r="H13" s="51">
        <v>25.878825526436032</v>
      </c>
      <c r="I13" s="51">
        <v>26.624653364763695</v>
      </c>
      <c r="J13" s="51">
        <v>26.350234952004847</v>
      </c>
    </row>
    <row r="14" spans="1:10">
      <c r="A14" s="48">
        <v>100</v>
      </c>
      <c r="B14">
        <v>100</v>
      </c>
      <c r="C14">
        <v>100</v>
      </c>
      <c r="D14">
        <v>0.1</v>
      </c>
      <c r="E14">
        <v>0.3</v>
      </c>
      <c r="F14">
        <v>0.5</v>
      </c>
      <c r="G14" t="s">
        <v>18</v>
      </c>
      <c r="H14" s="51">
        <v>17.924736605796905</v>
      </c>
      <c r="I14" s="51">
        <v>19.36313762336631</v>
      </c>
      <c r="J14" s="51">
        <v>19.46006368569607</v>
      </c>
    </row>
    <row r="15" spans="1:10">
      <c r="A15" s="48">
        <v>100</v>
      </c>
      <c r="B15">
        <v>100</v>
      </c>
      <c r="C15">
        <v>80</v>
      </c>
      <c r="D15">
        <v>0.3</v>
      </c>
      <c r="E15">
        <v>0.3</v>
      </c>
      <c r="F15">
        <v>0.5</v>
      </c>
      <c r="G15" t="s">
        <v>18</v>
      </c>
      <c r="H15" s="51">
        <v>32.536256286696464</v>
      </c>
      <c r="I15" s="51">
        <v>35.625784698579949</v>
      </c>
      <c r="J15" s="51">
        <v>35.433284168823732</v>
      </c>
    </row>
    <row r="16" spans="1:10">
      <c r="A16" s="48">
        <v>100</v>
      </c>
      <c r="B16">
        <v>100</v>
      </c>
      <c r="C16">
        <v>120</v>
      </c>
      <c r="D16">
        <v>0.3</v>
      </c>
      <c r="E16">
        <v>0.3</v>
      </c>
      <c r="F16">
        <v>0.5</v>
      </c>
      <c r="G16" t="s">
        <v>18</v>
      </c>
      <c r="H16" s="51">
        <v>14.685465760920023</v>
      </c>
      <c r="I16" s="51">
        <v>16.33790169043672</v>
      </c>
      <c r="J16" s="51">
        <v>16.602577706583642</v>
      </c>
    </row>
    <row r="17" spans="1:10">
      <c r="A17" s="48">
        <v>100</v>
      </c>
      <c r="B17">
        <v>100</v>
      </c>
      <c r="C17">
        <v>100</v>
      </c>
      <c r="D17">
        <v>0.5</v>
      </c>
      <c r="E17">
        <v>0.5</v>
      </c>
      <c r="F17">
        <v>0.5</v>
      </c>
      <c r="G17" t="s">
        <v>18</v>
      </c>
      <c r="H17" s="51">
        <v>28.44938651945445</v>
      </c>
      <c r="I17" s="51">
        <v>34.645624009662043</v>
      </c>
      <c r="J17" s="51">
        <v>34.957280378302009</v>
      </c>
    </row>
  </sheetData>
  <phoneticPr fontId="7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Qs1_BSPricer</vt:lpstr>
      <vt:lpstr>Qs2_ImpliedVolatility</vt:lpstr>
      <vt:lpstr>Qs3.1_geometricAsianOption</vt:lpstr>
      <vt:lpstr>Qs3.2_geometricBasketOption</vt:lpstr>
      <vt:lpstr>Qs4_arithmeticAsianOption</vt:lpstr>
      <vt:lpstr>Qs5_arithmeticBasketOption</vt:lpstr>
      <vt:lpstr>Q6_AmericanOptions</vt:lpstr>
      <vt:lpstr>TEST_Asian_Options</vt:lpstr>
      <vt:lpstr>TEST_Basket_Options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Sheshan Aaron</cp:lastModifiedBy>
  <dcterms:created xsi:type="dcterms:W3CDTF">2016-03-13T14:55:29Z</dcterms:created>
  <dcterms:modified xsi:type="dcterms:W3CDTF">2016-04-14T18:25:52Z</dcterms:modified>
</cp:coreProperties>
</file>